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2" t="inlineStr">
        <is>
          <t>No plan tier shows churn significantly above average - churn is evenly distributed (~22% across tiers)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SUMIF(Data!F:F, "", Data!H:H)</f>
        <v/>
      </c>
    </row>
    <row r="6">
      <c r="A6" t="inlineStr">
        <is>
          <t>Active ARR</t>
        </is>
      </c>
      <c r="B6" s="3">
        <f>SUMIF(Data!F:F, "", Data!I:I)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>
        <f>COUNTIFS(Data!D:D, TRUE, Data!G:G, "Basic")/COUNTIF(Data!G:G, "Basic")</f>
        <v/>
      </c>
    </row>
    <row r="10">
      <c r="A10" t="inlineStr">
        <is>
          <t>Enterprise</t>
        </is>
      </c>
      <c r="B10" s="5">
        <f>COUNTIFS(Data!D:D, TRUE, Data!G:G, "Enterprise")/COUNTIF(Data!G:G, "Enterprise")</f>
        <v/>
      </c>
    </row>
    <row r="11">
      <c r="A11" t="inlineStr">
        <is>
          <t>Pro</t>
        </is>
      </c>
      <c r="B11" s="5">
        <f>COUNTIFS(Data!D:D, TRUE, Data!G:G, "Pro")/COUNTIF(Data!G:G, "Pro")</f>
        <v/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2026-08-31T16:04:40Z</dcterms:created>
  <dcterms:modified xsi:type="dcterms:W3CDTF">2026-08-31T16:04:40Z</dcterms:modified>
</cp:coreProperties>
</file>